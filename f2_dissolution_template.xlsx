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Zqb\Desktop\"/>
    </mc:Choice>
  </mc:AlternateContent>
  <xr:revisionPtr revIDLastSave="0" documentId="13_ncr:1_{10BE5DBF-E1EB-483C-9C41-1AA36120063D}" xr6:coauthVersionLast="47" xr6:coauthVersionMax="47" xr10:uidLastSave="{00000000-0000-0000-0000-000000000000}"/>
  <bookViews>
    <workbookView xWindow="-110" yWindow="-110" windowWidth="22620" windowHeight="13500" tabRatio="500" xr2:uid="{00000000-000D-0000-FFFF-FFFF00000000}"/>
  </bookViews>
  <sheets>
    <sheet name="f2计算" sheetId="1" r:id="rId1"/>
    <sheet name="示例数据" sheetId="2" r:id="rId2"/>
  </sheets>
  <definedNames>
    <definedName name="_xlnm.Print_Area" localSheetId="0">f2计算!$A$1:$H$30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6" i="1" l="1"/>
  <c r="E16" i="1"/>
  <c r="F16" i="1" s="1"/>
  <c r="G15" i="1"/>
  <c r="E15" i="1"/>
  <c r="F15" i="1" s="1"/>
  <c r="G14" i="1"/>
  <c r="E14" i="1"/>
  <c r="F14" i="1" s="1"/>
  <c r="G13" i="1"/>
  <c r="E13" i="1"/>
  <c r="F13" i="1" s="1"/>
  <c r="G12" i="1"/>
  <c r="E12" i="1"/>
  <c r="F12" i="1" s="1"/>
  <c r="G11" i="1"/>
  <c r="E11" i="1"/>
  <c r="F11" i="1" s="1"/>
  <c r="G10" i="1"/>
  <c r="E10" i="1"/>
  <c r="F10" i="1" s="1"/>
  <c r="G9" i="1"/>
  <c r="E9" i="1"/>
  <c r="F9" i="1" s="1"/>
  <c r="G8" i="1"/>
  <c r="E8" i="1"/>
  <c r="F8" i="1" s="1"/>
  <c r="G7" i="1"/>
  <c r="E7" i="1"/>
  <c r="F7" i="1" s="1"/>
  <c r="G6" i="1"/>
  <c r="E6" i="1"/>
  <c r="F6" i="1" s="1"/>
  <c r="G5" i="1"/>
  <c r="E5" i="1"/>
  <c r="F5" i="1" s="1"/>
  <c r="D20" i="1" l="1"/>
  <c r="D19" i="1"/>
  <c r="D21" i="1" l="1"/>
  <c r="D22" i="1" s="1"/>
  <c r="D23" i="1" s="1"/>
</calcChain>
</file>

<file path=xl/sharedStrings.xml><?xml version="1.0" encoding="utf-8"?>
<sst xmlns="http://schemas.openxmlformats.org/spreadsheetml/2006/main" count="27" uniqueCount="27">
  <si>
    <r>
      <rPr>
        <b/>
        <sz val="16"/>
        <color rgb="FFFFFFFF"/>
        <rFont val="Noto Sans CJK SC"/>
        <family val="2"/>
      </rPr>
      <t xml:space="preserve">溶出曲线相似性 </t>
    </r>
    <r>
      <rPr>
        <b/>
        <sz val="16"/>
        <color rgb="FFFFFFFF"/>
        <rFont val="Arial"/>
        <family val="2"/>
      </rPr>
      <t xml:space="preserve">f₂ </t>
    </r>
    <r>
      <rPr>
        <b/>
        <sz val="16"/>
        <color rgb="FFFFFFFF"/>
        <rFont val="Noto Sans CJK SC"/>
        <family val="2"/>
      </rPr>
      <t>计算模板</t>
    </r>
  </si>
  <si>
    <t>f₂ = 50 × lg { [ 1 + (1/n) ∑(Rt−Tt)² ]⁻⁰·⁵ × 100 }</t>
  </si>
  <si>
    <t>序号</t>
  </si>
  <si>
    <r>
      <rPr>
        <b/>
        <sz val="11"/>
        <color rgb="FFFFFFFF"/>
        <rFont val="Noto Sans CJK SC"/>
        <family val="2"/>
      </rPr>
      <t xml:space="preserve">时间
</t>
    </r>
    <r>
      <rPr>
        <b/>
        <sz val="11"/>
        <color rgb="FFFFFFFF"/>
        <rFont val="Arial"/>
        <family val="2"/>
      </rPr>
      <t>(min)</t>
    </r>
  </si>
  <si>
    <r>
      <rPr>
        <b/>
        <sz val="11"/>
        <color rgb="FFFFFFFF"/>
        <rFont val="Arial"/>
        <family val="2"/>
      </rPr>
      <t xml:space="preserve">Rt (%)
</t>
    </r>
    <r>
      <rPr>
        <b/>
        <sz val="11"/>
        <color rgb="FFFFFFFF"/>
        <rFont val="Noto Sans CJK SC"/>
        <family val="2"/>
      </rPr>
      <t>参比制剂</t>
    </r>
  </si>
  <si>
    <r>
      <rPr>
        <b/>
        <sz val="11"/>
        <color rgb="FFFFFFFF"/>
        <rFont val="Arial"/>
        <family val="2"/>
      </rPr>
      <t xml:space="preserve">Tt (%)
</t>
    </r>
    <r>
      <rPr>
        <b/>
        <sz val="11"/>
        <color rgb="FFFFFFFF"/>
        <rFont val="Noto Sans CJK SC"/>
        <family val="2"/>
      </rPr>
      <t>受试制剂</t>
    </r>
  </si>
  <si>
    <t>Rt − Tt</t>
  </si>
  <si>
    <t>(Rt−Tt)²</t>
  </si>
  <si>
    <t>纳入计算</t>
  </si>
  <si>
    <t>备注</t>
  </si>
  <si>
    <t>计算结果</t>
  </si>
  <si>
    <r>
      <rPr>
        <sz val="11"/>
        <color rgb="FF1F4E79"/>
        <rFont val="Noto Sans CJK SC"/>
        <family val="2"/>
      </rPr>
      <t>纳入时间点数（</t>
    </r>
    <r>
      <rPr>
        <sz val="11"/>
        <color rgb="FF1F4E79"/>
        <rFont val="Arial"/>
        <family val="2"/>
      </rPr>
      <t>n</t>
    </r>
    <r>
      <rPr>
        <sz val="11"/>
        <color rgb="FF1F4E79"/>
        <rFont val="Noto Sans CJK SC"/>
        <family val="2"/>
      </rPr>
      <t>）</t>
    </r>
  </si>
  <si>
    <r>
      <rPr>
        <sz val="10"/>
        <color rgb="FF888888"/>
        <rFont val="Arial"/>
        <family val="2"/>
      </rPr>
      <t xml:space="preserve">≥ 3 </t>
    </r>
    <r>
      <rPr>
        <sz val="10"/>
        <color rgb="FF888888"/>
        <rFont val="Noto Sans CJK SC"/>
        <family val="2"/>
      </rPr>
      <t>个时间点为宜</t>
    </r>
  </si>
  <si>
    <t>∑(Rt−Tt)²</t>
  </si>
  <si>
    <r>
      <rPr>
        <sz val="11"/>
        <color rgb="FF1F4E79"/>
        <rFont val="Noto Sans CJK SC"/>
        <family val="2"/>
      </rPr>
      <t xml:space="preserve">中间值  </t>
    </r>
    <r>
      <rPr>
        <sz val="11"/>
        <color rgb="FF1F4E79"/>
        <rFont val="Arial"/>
        <family val="2"/>
      </rPr>
      <t>1 + (1/n)∑(Rt−Tt)²</t>
    </r>
  </si>
  <si>
    <r>
      <rPr>
        <sz val="11"/>
        <color rgb="FF1F4E79"/>
        <rFont val="Arial"/>
        <family val="2"/>
      </rPr>
      <t xml:space="preserve">f₂ </t>
    </r>
    <r>
      <rPr>
        <sz val="11"/>
        <color rgb="FF1F4E79"/>
        <rFont val="Noto Sans CJK SC"/>
        <family val="2"/>
      </rPr>
      <t>值</t>
    </r>
  </si>
  <si>
    <r>
      <rPr>
        <sz val="10"/>
        <color rgb="FF888888"/>
        <rFont val="Arial"/>
        <family val="2"/>
      </rPr>
      <t xml:space="preserve">f₂ ≥ 50 → </t>
    </r>
    <r>
      <rPr>
        <sz val="10"/>
        <color rgb="FF888888"/>
        <rFont val="Noto Sans CJK SC"/>
        <family val="2"/>
      </rPr>
      <t>相似</t>
    </r>
  </si>
  <si>
    <t>相似性判定结果</t>
  </si>
  <si>
    <t>使用说明</t>
  </si>
  <si>
    <r>
      <rPr>
        <sz val="10"/>
        <color rgb="FF595959"/>
        <rFont val="Noto Sans CJK SC"/>
        <family val="2"/>
      </rPr>
      <t>①  蓝色底色单元格为输入区域，请在</t>
    </r>
    <r>
      <rPr>
        <sz val="10"/>
        <color rgb="FF595959"/>
        <rFont val="Arial"/>
        <family val="2"/>
      </rPr>
      <t>"</t>
    </r>
    <r>
      <rPr>
        <sz val="10"/>
        <color rgb="FF595959"/>
        <rFont val="Noto Sans CJK SC"/>
        <family val="2"/>
      </rPr>
      <t xml:space="preserve">时间 </t>
    </r>
    <r>
      <rPr>
        <sz val="10"/>
        <color rgb="FF595959"/>
        <rFont val="Arial"/>
        <family val="2"/>
      </rPr>
      <t>(min)"</t>
    </r>
    <r>
      <rPr>
        <sz val="10"/>
        <color rgb="FF595959"/>
        <rFont val="Noto Sans CJK SC"/>
        <family val="2"/>
      </rPr>
      <t>、</t>
    </r>
    <r>
      <rPr>
        <sz val="10"/>
        <color rgb="FF595959"/>
        <rFont val="Arial"/>
        <family val="2"/>
      </rPr>
      <t>"Rt (%)"</t>
    </r>
    <r>
      <rPr>
        <sz val="10"/>
        <color rgb="FF595959"/>
        <rFont val="Noto Sans CJK SC"/>
        <family val="2"/>
      </rPr>
      <t>、</t>
    </r>
    <r>
      <rPr>
        <sz val="10"/>
        <color rgb="FF595959"/>
        <rFont val="Arial"/>
        <family val="2"/>
      </rPr>
      <t>"Tt (%)"</t>
    </r>
    <r>
      <rPr>
        <sz val="10"/>
        <color rgb="FF595959"/>
        <rFont val="Noto Sans CJK SC"/>
        <family val="2"/>
      </rPr>
      <t xml:space="preserve">列填写数据，最多支持 </t>
    </r>
    <r>
      <rPr>
        <sz val="10"/>
        <color rgb="FF595959"/>
        <rFont val="Arial"/>
        <family val="2"/>
      </rPr>
      <t xml:space="preserve">12 </t>
    </r>
    <r>
      <rPr>
        <sz val="10"/>
        <color rgb="FF595959"/>
        <rFont val="Noto Sans CJK SC"/>
        <family val="2"/>
      </rPr>
      <t>个时间点</t>
    </r>
  </si>
  <si>
    <r>
      <rPr>
        <sz val="10"/>
        <color rgb="FF595959"/>
        <rFont val="Noto Sans CJK SC"/>
        <family val="2"/>
      </rPr>
      <t xml:space="preserve">②  溶出量超过 </t>
    </r>
    <r>
      <rPr>
        <sz val="10"/>
        <color rgb="FF595959"/>
        <rFont val="Arial"/>
        <family val="2"/>
      </rPr>
      <t xml:space="preserve">85% </t>
    </r>
    <r>
      <rPr>
        <sz val="10"/>
        <color rgb="FF595959"/>
        <rFont val="Noto Sans CJK SC"/>
        <family val="2"/>
      </rPr>
      <t xml:space="preserve">的时间点至多纳入 </t>
    </r>
    <r>
      <rPr>
        <sz val="10"/>
        <color rgb="FF595959"/>
        <rFont val="Arial"/>
        <family val="2"/>
      </rPr>
      <t xml:space="preserve">1 </t>
    </r>
    <r>
      <rPr>
        <sz val="10"/>
        <color rgb="FF595959"/>
        <rFont val="Noto Sans CJK SC"/>
        <family val="2"/>
      </rPr>
      <t>个（首个超出的时间点），后续超出点将自动标记</t>
    </r>
    <r>
      <rPr>
        <sz val="10"/>
        <color rgb="FF595959"/>
        <rFont val="Arial"/>
        <family val="2"/>
      </rPr>
      <t>"</t>
    </r>
    <r>
      <rPr>
        <sz val="10"/>
        <color rgb="FF595959"/>
        <rFont val="Noto Sans CJK SC"/>
        <family val="2"/>
      </rPr>
      <t>排除</t>
    </r>
    <r>
      <rPr>
        <sz val="10"/>
        <color rgb="FF595959"/>
        <rFont val="Arial"/>
        <family val="2"/>
      </rPr>
      <t>"</t>
    </r>
    <r>
      <rPr>
        <sz val="10"/>
        <color rgb="FF595959"/>
        <rFont val="Noto Sans CJK SC"/>
        <family val="2"/>
      </rPr>
      <t>并以删除线显示</t>
    </r>
  </si>
  <si>
    <r>
      <rPr>
        <sz val="10"/>
        <color rgb="FF595959"/>
        <rFont val="Arial"/>
        <family val="2"/>
      </rPr>
      <t xml:space="preserve">③  f₂ ≥ 50 </t>
    </r>
    <r>
      <rPr>
        <sz val="10"/>
        <color rgb="FF595959"/>
        <rFont val="Noto Sans CJK SC"/>
        <family val="2"/>
      </rPr>
      <t xml:space="preserve">时判定溶出曲线相似；若 </t>
    </r>
    <r>
      <rPr>
        <sz val="10"/>
        <color rgb="FF595959"/>
        <rFont val="Arial"/>
        <family val="2"/>
      </rPr>
      <t xml:space="preserve">15 min </t>
    </r>
    <r>
      <rPr>
        <sz val="10"/>
        <color rgb="FF595959"/>
        <rFont val="Noto Sans CJK SC"/>
        <family val="2"/>
      </rPr>
      <t>时两条曲线的均值均≥</t>
    </r>
    <r>
      <rPr>
        <sz val="10"/>
        <color rgb="FF595959"/>
        <rFont val="Arial"/>
        <family val="2"/>
      </rPr>
      <t>85%</t>
    </r>
    <r>
      <rPr>
        <sz val="10"/>
        <color rgb="FF595959"/>
        <rFont val="Noto Sans CJK SC"/>
        <family val="2"/>
      </rPr>
      <t>，可直接判定相似</t>
    </r>
  </si>
  <si>
    <r>
      <rPr>
        <sz val="10"/>
        <color rgb="FF595959"/>
        <rFont val="Noto Sans CJK SC"/>
        <family val="2"/>
      </rPr>
      <t xml:space="preserve">④  建议采用 </t>
    </r>
    <r>
      <rPr>
        <sz val="10"/>
        <color rgb="FF595959"/>
        <rFont val="Arial"/>
        <family val="2"/>
      </rPr>
      <t xml:space="preserve">3—4 </t>
    </r>
    <r>
      <rPr>
        <sz val="10"/>
        <color rgb="FF595959"/>
        <rFont val="Noto Sans CJK SC"/>
        <family val="2"/>
      </rPr>
      <t xml:space="preserve">个或更多取样点；第 </t>
    </r>
    <r>
      <rPr>
        <sz val="10"/>
        <color rgb="FF595959"/>
        <rFont val="Arial"/>
        <family val="2"/>
      </rPr>
      <t xml:space="preserve">1 </t>
    </r>
    <r>
      <rPr>
        <sz val="10"/>
        <color rgb="FF595959"/>
        <rFont val="Noto Sans CJK SC"/>
        <family val="2"/>
      </rPr>
      <t xml:space="preserve">点 </t>
    </r>
    <r>
      <rPr>
        <sz val="10"/>
        <color rgb="FF595959"/>
        <rFont val="Arial"/>
        <family val="2"/>
      </rPr>
      <t xml:space="preserve">RSD </t>
    </r>
    <r>
      <rPr>
        <sz val="10"/>
        <color rgb="FF595959"/>
        <rFont val="Noto Sans CJK SC"/>
        <family val="2"/>
      </rPr>
      <t xml:space="preserve">不超过 </t>
    </r>
    <r>
      <rPr>
        <sz val="10"/>
        <color rgb="FF595959"/>
        <rFont val="Arial"/>
        <family val="2"/>
      </rPr>
      <t>20%</t>
    </r>
    <r>
      <rPr>
        <sz val="10"/>
        <color rgb="FF595959"/>
        <rFont val="Noto Sans CJK SC"/>
        <family val="2"/>
      </rPr>
      <t xml:space="preserve">，其余各点 </t>
    </r>
    <r>
      <rPr>
        <sz val="10"/>
        <color rgb="FF595959"/>
        <rFont val="Arial"/>
        <family val="2"/>
      </rPr>
      <t xml:space="preserve">RSD </t>
    </r>
    <r>
      <rPr>
        <sz val="10"/>
        <color rgb="FF595959"/>
        <rFont val="Noto Sans CJK SC"/>
        <family val="2"/>
      </rPr>
      <t xml:space="preserve">不超过 </t>
    </r>
    <r>
      <rPr>
        <sz val="10"/>
        <color rgb="FF595959"/>
        <rFont val="Arial"/>
        <family val="2"/>
      </rPr>
      <t>10%</t>
    </r>
  </si>
  <si>
    <r>
      <rPr>
        <i/>
        <sz val="11"/>
        <color rgb="FF1F4E79"/>
        <rFont val="Noto Sans CJK SC"/>
        <family val="2"/>
      </rPr>
      <t>示例说明：将下方数据复制粘贴至</t>
    </r>
    <r>
      <rPr>
        <i/>
        <sz val="11"/>
        <color rgb="FF1F4E79"/>
        <rFont val="Arial"/>
        <family val="2"/>
      </rPr>
      <t>"f2</t>
    </r>
    <r>
      <rPr>
        <i/>
        <sz val="11"/>
        <color rgb="FF1F4E79"/>
        <rFont val="Noto Sans CJK SC"/>
        <family val="2"/>
      </rPr>
      <t>计算</t>
    </r>
    <r>
      <rPr>
        <i/>
        <sz val="11"/>
        <color rgb="FF1F4E79"/>
        <rFont val="Arial"/>
        <family val="2"/>
      </rPr>
      <t>"</t>
    </r>
    <r>
      <rPr>
        <i/>
        <sz val="11"/>
        <color rgb="FF1F4E79"/>
        <rFont val="Noto Sans CJK SC"/>
        <family val="2"/>
      </rPr>
      <t xml:space="preserve">表的 </t>
    </r>
    <r>
      <rPr>
        <i/>
        <sz val="11"/>
        <color rgb="FF1F4E79"/>
        <rFont val="Arial"/>
        <family val="2"/>
      </rPr>
      <t>B</t>
    </r>
    <r>
      <rPr>
        <i/>
        <sz val="11"/>
        <color rgb="FF1F4E79"/>
        <rFont val="Noto Sans CJK SC"/>
        <family val="2"/>
      </rPr>
      <t>、</t>
    </r>
    <r>
      <rPr>
        <i/>
        <sz val="11"/>
        <color rgb="FF1F4E79"/>
        <rFont val="Arial"/>
        <family val="2"/>
      </rPr>
      <t>C</t>
    </r>
    <r>
      <rPr>
        <i/>
        <sz val="11"/>
        <color rgb="FF1F4E79"/>
        <rFont val="Noto Sans CJK SC"/>
        <family val="2"/>
      </rPr>
      <t>、</t>
    </r>
    <r>
      <rPr>
        <i/>
        <sz val="11"/>
        <color rgb="FF1F4E79"/>
        <rFont val="Arial"/>
        <family val="2"/>
      </rPr>
      <t xml:space="preserve">D </t>
    </r>
    <r>
      <rPr>
        <i/>
        <sz val="11"/>
        <color rgb="FF1F4E79"/>
        <rFont val="Noto Sans CJK SC"/>
        <family val="2"/>
      </rPr>
      <t>列（时间</t>
    </r>
    <r>
      <rPr>
        <i/>
        <sz val="11"/>
        <color rgb="FF1F4E79"/>
        <rFont val="Arial"/>
        <family val="2"/>
      </rPr>
      <t>/Rt/Tt</t>
    </r>
    <r>
      <rPr>
        <i/>
        <sz val="11"/>
        <color rgb="FF1F4E79"/>
        <rFont val="Noto Sans CJK SC"/>
        <family val="2"/>
      </rPr>
      <t>），可直接得到计算结果</t>
    </r>
  </si>
  <si>
    <r>
      <rPr>
        <b/>
        <sz val="11"/>
        <color rgb="FFFFFFFF"/>
        <rFont val="Noto Sans CJK SC"/>
        <family val="2"/>
      </rPr>
      <t xml:space="preserve">时间 </t>
    </r>
    <r>
      <rPr>
        <b/>
        <sz val="11"/>
        <color rgb="FFFFFFFF"/>
        <rFont val="Arial"/>
        <family val="2"/>
      </rPr>
      <t>(min)</t>
    </r>
  </si>
  <si>
    <t>Rt (%)</t>
  </si>
  <si>
    <t>Tt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</si>
</sst>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000"/>
  </numFmts>
  <fonts count="22">
    <font>
      <sz val="11"/>
      <color theme="1"/>
      <name val="Calibri"/>
      <family val="2"/>
      <charset val="1"/>
    </font>
    <font>
      <b/>
      <sz val="16"/>
      <color rgb="FFFFFFFF"/>
      <name val="Noto Sans CJK SC"/>
      <family val="2"/>
    </font>
    <font>
      <b/>
      <sz val="16"/>
      <color rgb="FFFFFFFF"/>
      <name val="Arial"/>
      <family val="2"/>
    </font>
    <font>
      <sz val="11"/>
      <color rgb="FF1F4E79"/>
      <name val="Arial"/>
      <family val="2"/>
    </font>
    <font>
      <b/>
      <sz val="11"/>
      <color rgb="FFFFFFFF"/>
      <name val="Noto Sans CJK SC"/>
      <family val="2"/>
    </font>
    <font>
      <b/>
      <sz val="11"/>
      <color rgb="FFFFFFFF"/>
      <name val="Arial"/>
      <family val="2"/>
    </font>
    <font>
      <sz val="11"/>
      <color rgb="FF909090"/>
      <name val="Arial"/>
      <family val="2"/>
    </font>
    <font>
      <sz val="11"/>
      <color rgb="FF000000"/>
      <name val="Arial"/>
      <family val="2"/>
    </font>
    <font>
      <sz val="11"/>
      <color rgb="FFAAAAAA"/>
      <name val="Arial"/>
      <family val="2"/>
    </font>
    <font>
      <b/>
      <sz val="13"/>
      <color rgb="FFFFFFFF"/>
      <name val="Noto Sans CJK SC"/>
      <family val="2"/>
    </font>
    <font>
      <sz val="11"/>
      <color rgb="FF1F4E79"/>
      <name val="Noto Sans CJK SC"/>
      <family val="2"/>
    </font>
    <font>
      <b/>
      <sz val="14"/>
      <color rgb="FF1F4E79"/>
      <name val="Arial"/>
      <family val="2"/>
    </font>
    <font>
      <sz val="10"/>
      <color rgb="FF888888"/>
      <name val="Arial"/>
      <family val="2"/>
    </font>
    <font>
      <sz val="10"/>
      <color rgb="FF888888"/>
      <name val="Noto Sans CJK SC"/>
      <family val="2"/>
    </font>
    <font>
      <b/>
      <sz val="12"/>
      <color rgb="FF000000"/>
      <name val="Noto Sans CJK SC"/>
      <family val="2"/>
    </font>
    <font>
      <b/>
      <sz val="10"/>
      <color rgb="FF595959"/>
      <name val="Noto Sans CJK SC"/>
      <family val="2"/>
    </font>
    <font>
      <sz val="10"/>
      <color rgb="FF595959"/>
      <name val="Noto Sans CJK SC"/>
      <family val="2"/>
    </font>
    <font>
      <sz val="10"/>
      <color rgb="FF595959"/>
      <name val="Arial"/>
      <family val="2"/>
    </font>
    <font>
      <i/>
      <sz val="11"/>
      <color rgb="FF1F4E79"/>
      <name val="Noto Sans CJK SC"/>
      <family val="2"/>
    </font>
    <font>
      <i/>
      <sz val="11"/>
      <color rgb="FF1F4E79"/>
      <name val="Arial"/>
      <family val="2"/>
    </font>
    <font>
      <sz val="11"/>
      <name val="Arial"/>
      <family val="2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9D9D9"/>
      </patternFill>
    </fill>
    <fill>
      <patternFill patternType="solid">
        <fgColor rgb="FF2E75B6"/>
        <bgColor rgb="FF0066CC"/>
      </patternFill>
    </fill>
    <fill>
      <patternFill patternType="solid">
        <fgColor rgb="FFF5F5F5"/>
        <bgColor rgb="FFFAFAFA"/>
      </patternFill>
    </fill>
    <fill>
      <patternFill patternType="solid">
        <fgColor rgb="FFFFFFFF"/>
        <bgColor rgb="FFFAFAFA"/>
      </patternFill>
    </fill>
    <fill>
      <patternFill patternType="solid">
        <fgColor rgb="FFEBF3FB"/>
        <bgColor rgb="FFEFEFEF"/>
      </patternFill>
    </fill>
    <fill>
      <patternFill patternType="solid">
        <fgColor rgb="FFD9D9D9"/>
        <bgColor rgb="FFD6E4F0"/>
      </patternFill>
    </fill>
    <fill>
      <patternFill patternType="solid">
        <fgColor rgb="FFFAFAFA"/>
        <bgColor rgb="FFFFFFFF"/>
      </patternFill>
    </fill>
  </fills>
  <borders count="3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6" fillId="9" borderId="1" xfId="0" applyFont="1" applyFill="1" applyBorder="1" applyAlignment="1">
      <alignment horizontal="left" vertical="center" wrapText="1" indent="1"/>
    </xf>
    <xf numFmtId="0" fontId="15" fillId="8" borderId="1" xfId="0" applyFont="1" applyFill="1" applyBorder="1" applyAlignment="1">
      <alignment horizontal="left" vertical="center" indent="1"/>
    </xf>
    <xf numFmtId="0" fontId="14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indent="1"/>
    </xf>
    <xf numFmtId="2" fontId="11" fillId="6" borderId="1" xfId="0" applyNumberFormat="1" applyFont="1" applyFill="1" applyBorder="1" applyAlignment="1">
      <alignment horizontal="center" vertical="center"/>
    </xf>
    <xf numFmtId="177" fontId="11" fillId="6" borderId="1" xfId="0" applyNumberFormat="1" applyFont="1" applyFill="1" applyBorder="1" applyAlignment="1">
      <alignment horizontal="center" vertical="center"/>
    </xf>
    <xf numFmtId="176" fontId="11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indent="1"/>
    </xf>
    <xf numFmtId="0" fontId="12" fillId="6" borderId="1" xfId="0" applyFont="1" applyFill="1" applyBorder="1" applyAlignment="1">
      <alignment horizontal="left" vertical="center" indent="1"/>
    </xf>
    <xf numFmtId="1" fontId="11" fillId="6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 indent="1"/>
    </xf>
    <xf numFmtId="0" fontId="9" fillId="4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2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left" vertical="center" wrapText="1" indent="1"/>
    </xf>
    <xf numFmtId="0" fontId="18" fillId="0" borderId="0" xfId="0" applyFont="1" applyBorder="1" applyAlignment="1">
      <alignment horizontal="left" vertical="center" wrapText="1"/>
    </xf>
  </cellXfs>
  <cellStyles count="1">
    <cellStyle name="常规" xfId="0" builtinId="0"/>
  </cellStyles>
  <dxfs count="4">
    <dxf>
      <font>
        <b/>
        <sz val="12"/>
        <color rgb="FF9C0006"/>
        <name val="Arial"/>
        <charset val="1"/>
      </font>
      <fill>
        <patternFill>
          <bgColor rgb="FFFFE7E7"/>
        </patternFill>
      </fill>
    </dxf>
    <dxf>
      <font>
        <b/>
        <sz val="12"/>
        <color rgb="FF375623"/>
        <name val="Arial"/>
        <charset val="1"/>
      </font>
      <fill>
        <patternFill>
          <bgColor rgb="FFE2EFDA"/>
        </patternFill>
      </fill>
    </dxf>
    <dxf>
      <font>
        <b/>
        <sz val="11"/>
        <color rgb="FFBF8F00"/>
        <name val="Arial"/>
        <charset val="1"/>
      </font>
    </dxf>
    <dxf>
      <font>
        <strike/>
        <sz val="11"/>
        <color rgb="FFBBBBBB"/>
        <name val="Arial"/>
        <charset val="1"/>
      </font>
      <fill>
        <patternFill>
          <bgColor rgb="FFEFEFE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88888"/>
      <rgbColor rgb="FFAAAAAA"/>
      <rgbColor rgb="FF993366"/>
      <rgbColor rgb="FFFAFAFA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E7E7"/>
      <rgbColor rgb="FFBBBBBB"/>
      <rgbColor rgb="FFF5F5F5"/>
      <rgbColor rgb="FFCC99FF"/>
      <rgbColor rgb="FFEFEFEF"/>
      <rgbColor rgb="FF2E75B6"/>
      <rgbColor rgb="FF33CCCC"/>
      <rgbColor rgb="FF99CC00"/>
      <rgbColor rgb="FFFFCC00"/>
      <rgbColor rgb="FFBF8F00"/>
      <rgbColor rgb="FFFF6600"/>
      <rgbColor rgb="FF595959"/>
      <rgbColor rgb="FF909090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8" sqref="E8"/>
    </sheetView>
  </sheetViews>
  <sheetFormatPr defaultColWidth="8.6328125" defaultRowHeight="14.5"/>
  <cols>
    <col min="1" max="1" width="6" customWidth="1"/>
    <col min="2" max="2" width="13" customWidth="1"/>
    <col min="3" max="4" width="14" customWidth="1"/>
    <col min="5" max="5" width="12" customWidth="1"/>
    <col min="6" max="6" width="14" customWidth="1"/>
    <col min="7" max="7" width="11" customWidth="1"/>
    <col min="8" max="8" width="22" customWidth="1"/>
  </cols>
  <sheetData>
    <row r="1" spans="1:8" ht="37.5" customHeight="1">
      <c r="A1" s="14" t="s">
        <v>0</v>
      </c>
      <c r="B1" s="14"/>
      <c r="C1" s="14"/>
      <c r="D1" s="14"/>
      <c r="E1" s="14"/>
      <c r="F1" s="14"/>
      <c r="G1" s="14"/>
      <c r="H1" s="14"/>
    </row>
    <row r="2" spans="1:8" ht="24" customHeight="1">
      <c r="A2" s="13" t="s">
        <v>1</v>
      </c>
      <c r="B2" s="13"/>
      <c r="C2" s="13"/>
      <c r="D2" s="13"/>
      <c r="E2" s="13"/>
      <c r="F2" s="13"/>
      <c r="G2" s="13"/>
      <c r="H2" s="13"/>
    </row>
    <row r="3" spans="1:8" ht="7.5" customHeight="1"/>
    <row r="4" spans="1:8" ht="33.75" customHeight="1">
      <c r="A4" s="15" t="s">
        <v>2</v>
      </c>
      <c r="B4" s="15" t="s">
        <v>3</v>
      </c>
      <c r="C4" s="16" t="s">
        <v>4</v>
      </c>
      <c r="D4" s="16" t="s">
        <v>5</v>
      </c>
      <c r="E4" s="16" t="s">
        <v>6</v>
      </c>
      <c r="F4" s="16" t="s">
        <v>7</v>
      </c>
      <c r="G4" s="15" t="s">
        <v>8</v>
      </c>
      <c r="H4" s="15" t="s">
        <v>9</v>
      </c>
    </row>
    <row r="5" spans="1:8" ht="21.75" customHeight="1">
      <c r="A5" s="17">
        <v>1</v>
      </c>
      <c r="B5" s="18">
        <v>15</v>
      </c>
      <c r="C5" s="19">
        <v>33</v>
      </c>
      <c r="D5" s="19">
        <v>39</v>
      </c>
      <c r="E5" s="20">
        <f t="shared" ref="E5:E16" si="0">IF(AND(C5&lt;&gt;"",D5&lt;&gt;""),C5-D5,"")</f>
        <v>-6</v>
      </c>
      <c r="F5" s="21">
        <f t="shared" ref="F5:F16" si="1">IF(E5&lt;&gt;"",E5^2,"")</f>
        <v>36</v>
      </c>
      <c r="G5" s="22" t="str">
        <f>IF(AND(B5&lt;&gt;"",C5&lt;&gt;"",D5&lt;&gt;""),"纳入","—")</f>
        <v>纳入</v>
      </c>
      <c r="H5" s="23"/>
    </row>
    <row r="6" spans="1:8" ht="21.75" customHeight="1">
      <c r="A6" s="17">
        <v>2</v>
      </c>
      <c r="B6" s="18">
        <v>30</v>
      </c>
      <c r="C6" s="19">
        <v>56</v>
      </c>
      <c r="D6" s="19">
        <v>67</v>
      </c>
      <c r="E6" s="20">
        <f t="shared" si="0"/>
        <v>-11</v>
      </c>
      <c r="F6" s="21">
        <f t="shared" si="1"/>
        <v>121</v>
      </c>
      <c r="G6" s="22" t="str">
        <f>IF(AND(B6&lt;&gt;"",C6&lt;&gt;"",D6&lt;&gt;""),IF(AND(C6&lt;=85,D6&lt;=85),"纳入",IF(COUNTIFS($G$5:G5,"纳入",$C$5:C5,"&gt;"&amp;85)+COUNTIFS($G$5:G5,"纳入",$D$5:D5,"&gt;"&amp;85)-COUNTIFS($G$5:G5,"纳入",$C$5:C5,"&gt;"&amp;85,$D$5:D5,"&gt;"&amp;85)=0,"纳入","排除")),"—")</f>
        <v>纳入</v>
      </c>
      <c r="H6" s="23"/>
    </row>
    <row r="7" spans="1:8" ht="21.75" customHeight="1">
      <c r="A7" s="17">
        <v>3</v>
      </c>
      <c r="B7" s="18">
        <v>45</v>
      </c>
      <c r="C7" s="19">
        <v>84</v>
      </c>
      <c r="D7" s="19">
        <v>90</v>
      </c>
      <c r="E7" s="20">
        <f t="shared" si="0"/>
        <v>-6</v>
      </c>
      <c r="F7" s="21">
        <f t="shared" si="1"/>
        <v>36</v>
      </c>
      <c r="G7" s="22" t="str">
        <f>IF(AND(B7&lt;&gt;"",C7&lt;&gt;"",D7&lt;&gt;""),IF(AND(C7&lt;=85,D7&lt;=85),"纳入",IF(COUNTIFS($G$5:G6,"纳入",$C$5:C6,"&gt;"&amp;85)+COUNTIFS($G$5:G6,"纳入",$D$5:D6,"&gt;"&amp;85)-COUNTIFS($G$5:G6,"纳入",$C$5:C6,"&gt;"&amp;85,$D$5:D6,"&gt;"&amp;85)=0,"纳入","排除")),"—")</f>
        <v>纳入</v>
      </c>
      <c r="H7" s="23"/>
    </row>
    <row r="8" spans="1:8" ht="21.75" customHeight="1">
      <c r="A8" s="17">
        <v>4</v>
      </c>
      <c r="B8" s="18">
        <v>60</v>
      </c>
      <c r="C8" s="19">
        <v>92</v>
      </c>
      <c r="D8" s="19">
        <v>95</v>
      </c>
      <c r="E8" s="20">
        <f t="shared" si="0"/>
        <v>-3</v>
      </c>
      <c r="F8" s="21">
        <f t="shared" si="1"/>
        <v>9</v>
      </c>
      <c r="G8" s="22" t="str">
        <f>IF(AND(B8&lt;&gt;"",C8&lt;&gt;"",D8&lt;&gt;""),IF(AND(C8&lt;=85,D8&lt;=85),"纳入",IF(COUNTIFS($G$5:G7,"纳入",$C$5:C7,"&gt;"&amp;85)+COUNTIFS($G$5:G7,"纳入",$D$5:D7,"&gt;"&amp;85)-COUNTIFS($G$5:G7,"纳入",$C$5:C7,"&gt;"&amp;85,$D$5:D7,"&gt;"&amp;85)=0,"纳入","排除")),"—")</f>
        <v>排除</v>
      </c>
      <c r="H8" s="23"/>
    </row>
    <row r="9" spans="1:8" ht="21.75" customHeight="1">
      <c r="A9" s="17">
        <v>5</v>
      </c>
      <c r="B9" s="18"/>
      <c r="C9" s="19"/>
      <c r="D9" s="19"/>
      <c r="E9" s="20" t="str">
        <f t="shared" si="0"/>
        <v/>
      </c>
      <c r="F9" s="21" t="str">
        <f t="shared" si="1"/>
        <v/>
      </c>
      <c r="G9" s="22" t="str">
        <f>IF(AND(B9&lt;&gt;"",C9&lt;&gt;"",D9&lt;&gt;""),IF(AND(C9&lt;=85,D9&lt;=85),"纳入",IF(COUNTIFS($G$5:G8,"纳入",$C$5:C8,"&gt;"&amp;85)+COUNTIFS($G$5:G8,"纳入",$D$5:D8,"&gt;"&amp;85)-COUNTIFS($G$5:G8,"纳入",$C$5:C8,"&gt;"&amp;85,$D$5:D8,"&gt;"&amp;85)=0,"纳入","排除")),"—")</f>
        <v>—</v>
      </c>
      <c r="H9" s="23"/>
    </row>
    <row r="10" spans="1:8" ht="21.75" customHeight="1">
      <c r="A10" s="17">
        <v>6</v>
      </c>
      <c r="B10" s="18"/>
      <c r="C10" s="19"/>
      <c r="D10" s="19"/>
      <c r="E10" s="20" t="str">
        <f t="shared" si="0"/>
        <v/>
      </c>
      <c r="F10" s="21" t="str">
        <f t="shared" si="1"/>
        <v/>
      </c>
      <c r="G10" s="22" t="str">
        <f>IF(AND(B10&lt;&gt;"",C10&lt;&gt;"",D10&lt;&gt;""),IF(AND(C10&lt;=85,D10&lt;=85),"纳入",IF(COUNTIFS($G$5:G9,"纳入",$C$5:C9,"&gt;"&amp;85)+COUNTIFS($G$5:G9,"纳入",$D$5:D9,"&gt;"&amp;85)-COUNTIFS($G$5:G9,"纳入",$C$5:C9,"&gt;"&amp;85,$D$5:D9,"&gt;"&amp;85)=0,"纳入","排除")),"—")</f>
        <v>—</v>
      </c>
      <c r="H10" s="23"/>
    </row>
    <row r="11" spans="1:8" ht="21.75" customHeight="1">
      <c r="A11" s="17">
        <v>7</v>
      </c>
      <c r="B11" s="18"/>
      <c r="C11" s="19"/>
      <c r="D11" s="19"/>
      <c r="E11" s="20" t="str">
        <f t="shared" si="0"/>
        <v/>
      </c>
      <c r="F11" s="21" t="str">
        <f t="shared" si="1"/>
        <v/>
      </c>
      <c r="G11" s="22" t="str">
        <f>IF(AND(B11&lt;&gt;"",C11&lt;&gt;"",D11&lt;&gt;""),IF(AND(C11&lt;=85,D11&lt;=85),"纳入",IF(COUNTIFS($G$5:G10,"纳入",$C$5:C10,"&gt;"&amp;85)+COUNTIFS($G$5:G10,"纳入",$D$5:D10,"&gt;"&amp;85)-COUNTIFS($G$5:G10,"纳入",$C$5:C10,"&gt;"&amp;85,$D$5:D10,"&gt;"&amp;85)=0,"纳入","排除")),"—")</f>
        <v>—</v>
      </c>
      <c r="H11" s="23"/>
    </row>
    <row r="12" spans="1:8" ht="21.75" customHeight="1">
      <c r="A12" s="17">
        <v>8</v>
      </c>
      <c r="B12" s="18"/>
      <c r="C12" s="19"/>
      <c r="D12" s="19"/>
      <c r="E12" s="20" t="str">
        <f t="shared" si="0"/>
        <v/>
      </c>
      <c r="F12" s="21" t="str">
        <f t="shared" si="1"/>
        <v/>
      </c>
      <c r="G12" s="22" t="str">
        <f>IF(AND(B12&lt;&gt;"",C12&lt;&gt;"",D12&lt;&gt;""),IF(AND(C12&lt;=85,D12&lt;=85),"纳入",IF(COUNTIFS($G$5:G11,"纳入",$C$5:C11,"&gt;"&amp;85)+COUNTIFS($G$5:G11,"纳入",$D$5:D11,"&gt;"&amp;85)-COUNTIFS($G$5:G11,"纳入",$C$5:C11,"&gt;"&amp;85,$D$5:D11,"&gt;"&amp;85)=0,"纳入","排除")),"—")</f>
        <v>—</v>
      </c>
      <c r="H12" s="23"/>
    </row>
    <row r="13" spans="1:8" ht="21.75" customHeight="1">
      <c r="A13" s="17">
        <v>9</v>
      </c>
      <c r="B13" s="18"/>
      <c r="C13" s="19"/>
      <c r="D13" s="19"/>
      <c r="E13" s="20" t="str">
        <f t="shared" si="0"/>
        <v/>
      </c>
      <c r="F13" s="21" t="str">
        <f t="shared" si="1"/>
        <v/>
      </c>
      <c r="G13" s="22" t="str">
        <f>IF(AND(B13&lt;&gt;"",C13&lt;&gt;"",D13&lt;&gt;""),IF(AND(C13&lt;=85,D13&lt;=85),"纳入",IF(COUNTIFS($G$5:G12,"纳入",$C$5:C12,"&gt;"&amp;85)+COUNTIFS($G$5:G12,"纳入",$D$5:D12,"&gt;"&amp;85)-COUNTIFS($G$5:G12,"纳入",$C$5:C12,"&gt;"&amp;85,$D$5:D12,"&gt;"&amp;85)=0,"纳入","排除")),"—")</f>
        <v>—</v>
      </c>
      <c r="H13" s="23"/>
    </row>
    <row r="14" spans="1:8" ht="21.75" customHeight="1">
      <c r="A14" s="17">
        <v>10</v>
      </c>
      <c r="B14" s="18"/>
      <c r="C14" s="19"/>
      <c r="D14" s="19"/>
      <c r="E14" s="20" t="str">
        <f t="shared" si="0"/>
        <v/>
      </c>
      <c r="F14" s="21" t="str">
        <f t="shared" si="1"/>
        <v/>
      </c>
      <c r="G14" s="22" t="str">
        <f>IF(AND(B14&lt;&gt;"",C14&lt;&gt;"",D14&lt;&gt;""),IF(AND(C14&lt;=85,D14&lt;=85),"纳入",IF(COUNTIFS($G$5:G13,"纳入",$C$5:C13,"&gt;"&amp;85)+COUNTIFS($G$5:G13,"纳入",$D$5:D13,"&gt;"&amp;85)-COUNTIFS($G$5:G13,"纳入",$C$5:C13,"&gt;"&amp;85,$D$5:D13,"&gt;"&amp;85)=0,"纳入","排除")),"—")</f>
        <v>—</v>
      </c>
      <c r="H14" s="23"/>
    </row>
    <row r="15" spans="1:8" ht="21.75" customHeight="1">
      <c r="A15" s="17">
        <v>11</v>
      </c>
      <c r="B15" s="18"/>
      <c r="C15" s="19"/>
      <c r="D15" s="19"/>
      <c r="E15" s="20" t="str">
        <f t="shared" si="0"/>
        <v/>
      </c>
      <c r="F15" s="21" t="str">
        <f t="shared" si="1"/>
        <v/>
      </c>
      <c r="G15" s="22" t="str">
        <f>IF(AND(B15&lt;&gt;"",C15&lt;&gt;"",D15&lt;&gt;""),IF(AND(C15&lt;=85,D15&lt;=85),"纳入",IF(COUNTIFS($G$5:G14,"纳入",$C$5:C14,"&gt;"&amp;85)+COUNTIFS($G$5:G14,"纳入",$D$5:D14,"&gt;"&amp;85)-COUNTIFS($G$5:G14,"纳入",$C$5:C14,"&gt;"&amp;85,$D$5:D14,"&gt;"&amp;85)=0,"纳入","排除")),"—")</f>
        <v>—</v>
      </c>
      <c r="H15" s="23"/>
    </row>
    <row r="16" spans="1:8" ht="21.75" customHeight="1">
      <c r="A16" s="17">
        <v>12</v>
      </c>
      <c r="B16" s="18"/>
      <c r="C16" s="19"/>
      <c r="D16" s="19"/>
      <c r="E16" s="20" t="str">
        <f t="shared" si="0"/>
        <v/>
      </c>
      <c r="F16" s="21" t="str">
        <f t="shared" si="1"/>
        <v/>
      </c>
      <c r="G16" s="22" t="str">
        <f>IF(AND(B16&lt;&gt;"",C16&lt;&gt;"",D16&lt;&gt;""),IF(AND(C16&lt;=85,D16&lt;=85),"纳入",IF(COUNTIFS($G$5:G15,"纳入",$C$5:C15,"&gt;"&amp;85)+COUNTIFS($G$5:G15,"纳入",$D$5:D15,"&gt;"&amp;85)-COUNTIFS($G$5:G15,"纳入",$C$5:C15,"&gt;"&amp;85,$D$5:D15,"&gt;"&amp;85)=0,"纳入","排除")),"—")</f>
        <v>—</v>
      </c>
      <c r="H16" s="23"/>
    </row>
    <row r="17" spans="1:8" ht="12" customHeight="1"/>
    <row r="18" spans="1:8" ht="30" customHeight="1">
      <c r="A18" s="12" t="s">
        <v>10</v>
      </c>
      <c r="B18" s="12"/>
      <c r="C18" s="12"/>
      <c r="D18" s="12"/>
      <c r="E18" s="12"/>
      <c r="F18" s="12"/>
      <c r="G18" s="12"/>
      <c r="H18" s="12"/>
    </row>
    <row r="19" spans="1:8" ht="27.75" customHeight="1">
      <c r="A19" s="11" t="s">
        <v>11</v>
      </c>
      <c r="B19" s="11"/>
      <c r="C19" s="11"/>
      <c r="D19" s="10">
        <f>COUNTIF(G5:G16,"纳入")</f>
        <v>3</v>
      </c>
      <c r="E19" s="10"/>
      <c r="F19" s="10"/>
      <c r="G19" s="9" t="s">
        <v>12</v>
      </c>
      <c r="H19" s="9"/>
    </row>
    <row r="20" spans="1:8" ht="27.75" customHeight="1">
      <c r="A20" s="8" t="s">
        <v>13</v>
      </c>
      <c r="B20" s="8"/>
      <c r="C20" s="8"/>
      <c r="D20" s="7">
        <f>SUMIF(G5:G16,"纳入",F5:F16)</f>
        <v>193</v>
      </c>
      <c r="E20" s="7"/>
      <c r="F20" s="7"/>
      <c r="G20" s="9"/>
      <c r="H20" s="9"/>
    </row>
    <row r="21" spans="1:8" ht="27.75" customHeight="1">
      <c r="A21" s="11" t="s">
        <v>14</v>
      </c>
      <c r="B21" s="11"/>
      <c r="C21" s="11"/>
      <c r="D21" s="6">
        <f>IF(D19&gt;=2,1+D20/D19,"")</f>
        <v>65.333333333333329</v>
      </c>
      <c r="E21" s="6"/>
      <c r="F21" s="6"/>
      <c r="G21" s="9"/>
      <c r="H21" s="9"/>
    </row>
    <row r="22" spans="1:8" ht="27.75" customHeight="1">
      <c r="A22" s="8" t="s">
        <v>15</v>
      </c>
      <c r="B22" s="8"/>
      <c r="C22" s="8"/>
      <c r="D22" s="5">
        <f>IF(D21&lt;&gt;"",50*LOG10(POWER(D21,-0.5)*100),"")</f>
        <v>54.621629584079656</v>
      </c>
      <c r="E22" s="5"/>
      <c r="F22" s="5"/>
      <c r="G22" s="9" t="s">
        <v>16</v>
      </c>
      <c r="H22" s="9"/>
    </row>
    <row r="23" spans="1:8" ht="31.5" customHeight="1">
      <c r="A23" s="4" t="s">
        <v>17</v>
      </c>
      <c r="B23" s="4"/>
      <c r="C23" s="4"/>
      <c r="D23" s="3" t="str">
        <f>IF(D19&lt;2,"⚠ 数据不足，无法判定",IF(SUMPRODUCT((B5:B16=15)*(C5:C16&gt;=85)*(D5:D16&gt;=85))&gt;0,"【特殊情形】15 min 时两曲线均值均≥85%，直接判定：溶出曲线相似",IF(D22&gt;=50,"✓  f₂ = "&amp;TEXT(D22,"0.00")&amp;" ≥ 50，判定：溶出曲线相似","✗  f₂ = "&amp;TEXT(D22,"0.00")&amp;" &lt; 50，判定：溶出曲线不相似")))</f>
        <v>✓  f₂ = 54.62 ≥ 50，判定：溶出曲线相似</v>
      </c>
      <c r="E23" s="3"/>
      <c r="F23" s="3"/>
      <c r="G23" s="3"/>
      <c r="H23" s="3"/>
    </row>
    <row r="24" spans="1:8" ht="9.75" customHeight="1"/>
    <row r="25" spans="1:8" ht="19.5" customHeight="1">
      <c r="A25" s="2" t="s">
        <v>18</v>
      </c>
      <c r="B25" s="2"/>
      <c r="C25" s="2"/>
      <c r="D25" s="2"/>
      <c r="E25" s="2"/>
      <c r="F25" s="2"/>
      <c r="G25" s="2"/>
      <c r="H25" s="2"/>
    </row>
    <row r="26" spans="1:8" ht="18" customHeight="1">
      <c r="A26" s="1" t="s">
        <v>19</v>
      </c>
      <c r="B26" s="1"/>
      <c r="C26" s="1"/>
      <c r="D26" s="1"/>
      <c r="E26" s="1"/>
      <c r="F26" s="1"/>
      <c r="G26" s="1"/>
      <c r="H26" s="1"/>
    </row>
    <row r="27" spans="1:8" ht="18" customHeight="1">
      <c r="A27" s="1" t="s">
        <v>20</v>
      </c>
      <c r="B27" s="1"/>
      <c r="C27" s="1"/>
      <c r="D27" s="1"/>
      <c r="E27" s="1"/>
      <c r="F27" s="1"/>
      <c r="G27" s="1"/>
      <c r="H27" s="1"/>
    </row>
    <row r="28" spans="1:8" ht="18" customHeight="1">
      <c r="A28" s="27" t="s">
        <v>21</v>
      </c>
      <c r="B28" s="27"/>
      <c r="C28" s="27"/>
      <c r="D28" s="27"/>
      <c r="E28" s="27"/>
      <c r="F28" s="27"/>
      <c r="G28" s="27"/>
      <c r="H28" s="27"/>
    </row>
    <row r="29" spans="1:8" ht="18" customHeight="1">
      <c r="A29" s="1" t="s">
        <v>22</v>
      </c>
      <c r="B29" s="1"/>
      <c r="C29" s="1"/>
      <c r="D29" s="1"/>
      <c r="E29" s="1"/>
      <c r="F29" s="1"/>
      <c r="G29" s="1"/>
      <c r="H29" s="1"/>
    </row>
  </sheetData>
  <mergeCells count="22">
    <mergeCell ref="A25:H25"/>
    <mergeCell ref="A26:H26"/>
    <mergeCell ref="A27:H27"/>
    <mergeCell ref="A28:H28"/>
    <mergeCell ref="A29:H29"/>
    <mergeCell ref="A22:C22"/>
    <mergeCell ref="D22:F22"/>
    <mergeCell ref="G22:H22"/>
    <mergeCell ref="A23:C23"/>
    <mergeCell ref="D23:H23"/>
    <mergeCell ref="A20:C20"/>
    <mergeCell ref="D20:F20"/>
    <mergeCell ref="G20:H20"/>
    <mergeCell ref="A21:C21"/>
    <mergeCell ref="D21:F21"/>
    <mergeCell ref="G21:H21"/>
    <mergeCell ref="A1:H1"/>
    <mergeCell ref="A2:H2"/>
    <mergeCell ref="A18:H18"/>
    <mergeCell ref="A19:C19"/>
    <mergeCell ref="D19:F19"/>
    <mergeCell ref="G19:H19"/>
  </mergeCells>
  <phoneticPr fontId="21" type="noConversion"/>
  <conditionalFormatting sqref="A5:H16">
    <cfRule type="expression" dxfId="3" priority="2">
      <formula>$G5="排除"</formula>
    </cfRule>
  </conditionalFormatting>
  <conditionalFormatting sqref="E5:E16">
    <cfRule type="expression" dxfId="2" priority="3">
      <formula>AND(E5&lt;&gt;"",ABS(E5)&gt;10)</formula>
    </cfRule>
  </conditionalFormatting>
  <conditionalFormatting sqref="D23">
    <cfRule type="expression" dxfId="1" priority="4">
      <formula>AND(D19&gt;=2,OR(SUMPRODUCT((B5:B16=15)*(C5:C16&gt;=85)*(D5:D16&gt;=85))&gt;0,D22&gt;=50))</formula>
    </cfRule>
    <cfRule type="expression" dxfId="0" priority="5">
      <formula>AND(D19&gt;=2,SUMPRODUCT((B5:B16=15)*(C5:C16&gt;=85)*(D5:D16&gt;=85))=0,D22&lt;50)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zoomScaleNormal="100" workbookViewId="0"/>
  </sheetViews>
  <sheetFormatPr defaultColWidth="8.6328125" defaultRowHeight="14.5"/>
  <cols>
    <col min="1" max="3" width="14" customWidth="1"/>
  </cols>
  <sheetData>
    <row r="1" spans="1:5" ht="27.75" customHeight="1">
      <c r="A1" s="28" t="s">
        <v>23</v>
      </c>
      <c r="B1" s="28"/>
      <c r="C1" s="28"/>
      <c r="D1" s="28"/>
      <c r="E1" s="28"/>
    </row>
    <row r="3" spans="1:5">
      <c r="A3" s="24" t="s">
        <v>24</v>
      </c>
      <c r="B3" s="25" t="s">
        <v>25</v>
      </c>
      <c r="C3" s="25" t="s">
        <v>26</v>
      </c>
    </row>
    <row r="4" spans="1:5" ht="21.75" customHeight="1">
      <c r="A4" s="26">
        <v>15</v>
      </c>
      <c r="B4" s="26">
        <v>68.5</v>
      </c>
      <c r="C4" s="26">
        <v>62.3</v>
      </c>
    </row>
    <row r="5" spans="1:5" ht="21.75" customHeight="1">
      <c r="A5" s="26">
        <v>30</v>
      </c>
      <c r="B5" s="26">
        <v>82.4</v>
      </c>
      <c r="C5" s="26">
        <v>76.8</v>
      </c>
    </row>
    <row r="6" spans="1:5" ht="21.75" customHeight="1">
      <c r="A6" s="26">
        <v>45</v>
      </c>
      <c r="B6" s="26">
        <v>91.2</v>
      </c>
      <c r="C6" s="26">
        <v>87.6</v>
      </c>
    </row>
    <row r="7" spans="1:5" ht="21.75" customHeight="1">
      <c r="A7" s="26">
        <v>60</v>
      </c>
      <c r="B7" s="26">
        <v>96.5</v>
      </c>
      <c r="C7" s="26">
        <v>93.1</v>
      </c>
    </row>
  </sheetData>
  <mergeCells count="1">
    <mergeCell ref="A1:E1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f2计算</vt:lpstr>
      <vt:lpstr>示例数据</vt:lpstr>
      <vt:lpstr>f2计算!Print_Area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Zqb</cp:lastModifiedBy>
  <cp:revision>0</cp:revision>
  <dcterms:created xsi:type="dcterms:W3CDTF">2026-05-08T00:50:16Z</dcterms:created>
  <dcterms:modified xsi:type="dcterms:W3CDTF">2026-05-09T08:56:29Z</dcterms:modified>
  <dc:language>en-US</dc:language>
</cp:coreProperties>
</file>